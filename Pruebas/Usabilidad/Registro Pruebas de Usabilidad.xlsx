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agon\Desktop\Clase\Quinto año\TFG\Aplicacion\Pruebas\Usabilidad\"/>
    </mc:Choice>
  </mc:AlternateContent>
  <xr:revisionPtr revIDLastSave="0" documentId="13_ncr:1_{BA9A876C-8AA6-40D2-B3BC-167AC14F32B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reguntas" sheetId="1" r:id="rId1"/>
    <sheet name="Satisfacción" sheetId="2" r:id="rId2"/>
    <sheet name="Observaci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" l="1"/>
  <c r="H7" i="3"/>
  <c r="G7" i="3"/>
  <c r="F7" i="3"/>
  <c r="E7" i="3"/>
  <c r="D7" i="3"/>
  <c r="E7" i="2"/>
  <c r="F7" i="2"/>
  <c r="G7" i="2"/>
  <c r="H7" i="2"/>
  <c r="D7" i="2"/>
  <c r="D5" i="3"/>
  <c r="D6" i="3"/>
  <c r="D4" i="3"/>
  <c r="D3" i="3"/>
</calcChain>
</file>

<file path=xl/sharedStrings.xml><?xml version="1.0" encoding="utf-8"?>
<sst xmlns="http://schemas.openxmlformats.org/spreadsheetml/2006/main" count="56" uniqueCount="31">
  <si>
    <t>¿Cuál es la formación táctica con peor media de ataque?</t>
  </si>
  <si>
    <t>Pregunta 1</t>
  </si>
  <si>
    <t>Usuario 1</t>
  </si>
  <si>
    <t>Pregunta 2</t>
  </si>
  <si>
    <t>Pregunta 3</t>
  </si>
  <si>
    <t>Pregunta 4</t>
  </si>
  <si>
    <t>Pregunta 5</t>
  </si>
  <si>
    <t>Pregunta 6</t>
  </si>
  <si>
    <t>Preguntas</t>
  </si>
  <si>
    <t>Usuario 2</t>
  </si>
  <si>
    <t>¿Cuantos jugadores han marcado 5 goles en un partido?</t>
  </si>
  <si>
    <t>¿De qué color es la segunda equipación del Chelsea en 2020?</t>
  </si>
  <si>
    <t>¿Cuál es la liga con los campeones con la edad media más baja?</t>
  </si>
  <si>
    <t>¿Qué día fue el partido con más tarjetas rojas?</t>
  </si>
  <si>
    <t>Sobre la consulta personalizada, ¿Qué equipo y cuantos puntos es el que más ha mejorado de un año para otro?</t>
  </si>
  <si>
    <t>Usuario 3</t>
  </si>
  <si>
    <t>Usuario 4</t>
  </si>
  <si>
    <t>Tasa de éxito</t>
  </si>
  <si>
    <t>Tanda 1</t>
  </si>
  <si>
    <t>Tanda 2</t>
  </si>
  <si>
    <t>Tiempo total</t>
  </si>
  <si>
    <t>Ayudas solicitadas</t>
  </si>
  <si>
    <t>Pericia Informática</t>
  </si>
  <si>
    <t>Conocimiento sobre el dominio</t>
  </si>
  <si>
    <t>Facilidad de uso de la interfaz</t>
  </si>
  <si>
    <t>He encontrado las funcionalidades necesarias</t>
  </si>
  <si>
    <t>He comprendido los resultados mostrados</t>
  </si>
  <si>
    <t>Ejecución de consultas personalizadas me ha resultado sencilla</t>
  </si>
  <si>
    <t>Satisfacción general</t>
  </si>
  <si>
    <t>Edad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</si>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</sst>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3" fillId="3" borderId="1" xfId="0" applyFont="1" applyFill="1" applyBorder="1"/>
    <xf numFmtId="0" fontId="0" fillId="4" borderId="1" xfId="0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3" borderId="1" xfId="1" applyFon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8"/>
  <sheetViews>
    <sheetView topLeftCell="A2" workbookViewId="0">
      <selection activeCell="J5" sqref="B5:J5"/>
    </sheetView>
  </sheetViews>
  <sheetFormatPr baseColWidth="10" defaultColWidth="8.88671875" defaultRowHeight="14.4" x14ac:dyDescent="0.3"/>
  <cols>
    <col min="4" max="9" width="11.109375" customWidth="1"/>
    <col min="11" max="11" width="11.109375" customWidth="1"/>
    <col min="12" max="12" width="105.5546875" customWidth="1"/>
  </cols>
  <sheetData>
    <row r="2" spans="2:12" x14ac:dyDescent="0.3">
      <c r="C2" s="3"/>
      <c r="D2" s="5" t="s">
        <v>1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K2" s="4" t="s">
        <v>8</v>
      </c>
      <c r="L2" s="1"/>
    </row>
    <row r="3" spans="2:12" ht="15.6" x14ac:dyDescent="0.3">
      <c r="B3" s="4" t="s">
        <v>18</v>
      </c>
      <c r="C3" s="6" t="s">
        <v>2</v>
      </c>
      <c r="D3" s="8" t="b">
        <v>0</v>
      </c>
      <c r="E3" s="8" t="b">
        <v>1</v>
      </c>
      <c r="F3" s="8" t="b">
        <v>0</v>
      </c>
      <c r="G3" s="8" t="b">
        <v>1</v>
      </c>
      <c r="H3" s="8" t="b">
        <v>1</v>
      </c>
      <c r="I3" s="8" t="b">
        <v>1</v>
      </c>
      <c r="K3" s="4" t="s">
        <v>1</v>
      </c>
      <c r="L3" s="2" t="s">
        <v>0</v>
      </c>
    </row>
    <row r="4" spans="2:12" ht="15.6" x14ac:dyDescent="0.3">
      <c r="B4" s="4" t="s">
        <v>18</v>
      </c>
      <c r="C4" s="6" t="s">
        <v>9</v>
      </c>
      <c r="D4" s="8" t="b">
        <v>1</v>
      </c>
      <c r="E4" s="8" t="b">
        <v>1</v>
      </c>
      <c r="F4" s="8" t="b">
        <v>1</v>
      </c>
      <c r="G4" s="8" t="b">
        <v>0</v>
      </c>
      <c r="H4" s="8" t="b">
        <v>1</v>
      </c>
      <c r="I4" s="8" t="b">
        <v>1</v>
      </c>
      <c r="K4" s="4" t="s">
        <v>3</v>
      </c>
      <c r="L4" s="2" t="s">
        <v>10</v>
      </c>
    </row>
    <row r="5" spans="2:12" ht="15.6" x14ac:dyDescent="0.3">
      <c r="B5" s="4" t="s">
        <v>19</v>
      </c>
      <c r="C5" s="6" t="s">
        <v>15</v>
      </c>
      <c r="D5" s="8" t="b">
        <v>1</v>
      </c>
      <c r="E5" s="8" t="b">
        <v>1</v>
      </c>
      <c r="F5" s="8" t="b">
        <v>1</v>
      </c>
      <c r="G5" s="8" t="b">
        <v>1</v>
      </c>
      <c r="H5" s="8" t="b">
        <v>1</v>
      </c>
      <c r="I5" s="8" t="b">
        <v>1</v>
      </c>
      <c r="K5" s="4" t="s">
        <v>4</v>
      </c>
      <c r="L5" s="2" t="s">
        <v>11</v>
      </c>
    </row>
    <row r="6" spans="2:12" ht="15.6" x14ac:dyDescent="0.3">
      <c r="B6" s="4" t="s">
        <v>19</v>
      </c>
      <c r="C6" s="6" t="s">
        <v>16</v>
      </c>
      <c r="D6" s="8" t="b">
        <v>1</v>
      </c>
      <c r="E6" s="8" t="b">
        <v>1</v>
      </c>
      <c r="F6" s="8" t="b">
        <v>0</v>
      </c>
      <c r="G6" s="8" t="b">
        <v>1</v>
      </c>
      <c r="H6" s="8" t="b">
        <v>1</v>
      </c>
      <c r="I6" s="8" t="b">
        <v>1</v>
      </c>
      <c r="K6" s="4" t="s">
        <v>5</v>
      </c>
      <c r="L6" s="2" t="s">
        <v>12</v>
      </c>
    </row>
    <row r="7" spans="2:12" ht="15.6" x14ac:dyDescent="0.3">
      <c r="K7" s="4" t="s">
        <v>6</v>
      </c>
      <c r="L7" s="2" t="s">
        <v>13</v>
      </c>
    </row>
    <row r="8" spans="2:12" ht="15.6" x14ac:dyDescent="0.3">
      <c r="K8" s="4" t="s">
        <v>7</v>
      </c>
      <c r="L8" s="2" t="s">
        <v>14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3DCF-42E4-4282-A412-73A31521266E}">
  <dimension ref="B2:H7"/>
  <sheetViews>
    <sheetView workbookViewId="0">
      <selection activeCell="D12" sqref="D12"/>
    </sheetView>
  </sheetViews>
  <sheetFormatPr baseColWidth="10" defaultRowHeight="14.4" x14ac:dyDescent="0.3"/>
  <cols>
    <col min="4" max="4" width="31.44140625" customWidth="1"/>
    <col min="5" max="5" width="45.5546875" customWidth="1"/>
    <col min="6" max="6" width="42.77734375" customWidth="1"/>
    <col min="7" max="7" width="62.21875" customWidth="1"/>
    <col min="8" max="8" width="20.5546875" customWidth="1"/>
  </cols>
  <sheetData>
    <row r="2" spans="2:8" x14ac:dyDescent="0.3">
      <c r="C2" s="3"/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</row>
    <row r="3" spans="2:8" x14ac:dyDescent="0.3">
      <c r="B3" s="4" t="s">
        <v>18</v>
      </c>
      <c r="C3" s="6" t="s">
        <v>2</v>
      </c>
      <c r="D3" s="7">
        <v>3</v>
      </c>
      <c r="E3" s="7">
        <v>4</v>
      </c>
      <c r="F3" s="7">
        <v>4</v>
      </c>
      <c r="G3" s="7">
        <v>5</v>
      </c>
      <c r="H3" s="7">
        <v>3</v>
      </c>
    </row>
    <row r="4" spans="2:8" x14ac:dyDescent="0.3">
      <c r="B4" s="4" t="s">
        <v>18</v>
      </c>
      <c r="C4" s="6" t="s">
        <v>9</v>
      </c>
      <c r="D4" s="7">
        <v>3</v>
      </c>
      <c r="E4" s="7">
        <v>2</v>
      </c>
      <c r="F4" s="7">
        <v>5</v>
      </c>
      <c r="G4" s="7">
        <v>2</v>
      </c>
      <c r="H4" s="7">
        <v>3</v>
      </c>
    </row>
    <row r="5" spans="2:8" x14ac:dyDescent="0.3">
      <c r="B5" s="4" t="s">
        <v>19</v>
      </c>
      <c r="C5" s="6" t="s">
        <v>15</v>
      </c>
      <c r="D5" s="7">
        <v>5</v>
      </c>
      <c r="E5" s="7">
        <v>5</v>
      </c>
      <c r="F5" s="7">
        <v>5</v>
      </c>
      <c r="G5" s="7">
        <v>5</v>
      </c>
      <c r="H5" s="7">
        <v>4</v>
      </c>
    </row>
    <row r="6" spans="2:8" x14ac:dyDescent="0.3">
      <c r="B6" s="4" t="s">
        <v>19</v>
      </c>
      <c r="C6" s="6" t="s">
        <v>16</v>
      </c>
      <c r="D6" s="7">
        <v>5</v>
      </c>
      <c r="E6" s="7">
        <v>4</v>
      </c>
      <c r="F6" s="7">
        <v>4</v>
      </c>
      <c r="G6" s="7">
        <v>4</v>
      </c>
      <c r="H6" s="7">
        <v>4</v>
      </c>
    </row>
    <row r="7" spans="2:8" x14ac:dyDescent="0.3">
      <c r="C7" s="11" t="s">
        <v>30</v>
      </c>
      <c r="D7" s="7">
        <f>SUM(D3:D6 ) /4</f>
        <v>4</v>
      </c>
      <c r="E7" s="7">
        <f t="shared" ref="E7:H7" si="0">SUM(E3:E6 ) /4</f>
        <v>3.75</v>
      </c>
      <c r="F7" s="7">
        <f t="shared" si="0"/>
        <v>4.5</v>
      </c>
      <c r="G7" s="7">
        <f t="shared" si="0"/>
        <v>4</v>
      </c>
      <c r="H7" s="7">
        <f t="shared" si="0"/>
        <v>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9438-7099-4D26-9753-785A79E216B5}">
  <dimension ref="B2:I7"/>
  <sheetViews>
    <sheetView tabSelected="1" workbookViewId="0">
      <selection activeCell="E4" sqref="E4"/>
    </sheetView>
  </sheetViews>
  <sheetFormatPr baseColWidth="10" defaultRowHeight="14.4" x14ac:dyDescent="0.3"/>
  <cols>
    <col min="4" max="4" width="15.109375" customWidth="1"/>
    <col min="5" max="5" width="14.44140625" customWidth="1"/>
    <col min="6" max="6" width="20" customWidth="1"/>
    <col min="7" max="7" width="19.44140625" customWidth="1"/>
    <col min="8" max="8" width="29.21875" customWidth="1"/>
  </cols>
  <sheetData>
    <row r="2" spans="2:9" x14ac:dyDescent="0.3">
      <c r="B2" s="3"/>
      <c r="C2" s="3"/>
      <c r="D2" s="5" t="s">
        <v>17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29</v>
      </c>
    </row>
    <row r="3" spans="2:9" x14ac:dyDescent="0.3">
      <c r="B3" s="4" t="s">
        <v>18</v>
      </c>
      <c r="C3" s="4" t="s">
        <v>2</v>
      </c>
      <c r="D3" s="9">
        <f>COUNTIF(Preguntas!D3:I3,"VERDADERO") / 6</f>
        <v>0.66666666666666663</v>
      </c>
      <c r="E3" s="10">
        <v>0.34166666666666667</v>
      </c>
      <c r="F3" s="7">
        <v>1</v>
      </c>
      <c r="G3" s="7">
        <v>10</v>
      </c>
      <c r="H3" s="7">
        <v>3</v>
      </c>
      <c r="I3" s="7">
        <v>54</v>
      </c>
    </row>
    <row r="4" spans="2:9" x14ac:dyDescent="0.3">
      <c r="B4" s="4" t="s">
        <v>18</v>
      </c>
      <c r="C4" s="4" t="s">
        <v>9</v>
      </c>
      <c r="D4" s="9">
        <f>COUNTIF(Preguntas!D4:I4,"VERDADERO") / 6</f>
        <v>0.83333333333333337</v>
      </c>
      <c r="E4" s="10">
        <v>0.30833333333333335</v>
      </c>
      <c r="F4" s="7">
        <v>2</v>
      </c>
      <c r="G4" s="7">
        <v>5</v>
      </c>
      <c r="H4" s="7">
        <v>10</v>
      </c>
      <c r="I4" s="7">
        <v>22</v>
      </c>
    </row>
    <row r="5" spans="2:9" x14ac:dyDescent="0.3">
      <c r="B5" s="4" t="s">
        <v>19</v>
      </c>
      <c r="C5" s="4" t="s">
        <v>15</v>
      </c>
      <c r="D5" s="9">
        <f>COUNTIF(Preguntas!D5:I5,"VERDADERO") / 6</f>
        <v>1</v>
      </c>
      <c r="E5" s="10">
        <v>0.28958333333333336</v>
      </c>
      <c r="F5" s="7">
        <v>0</v>
      </c>
      <c r="G5" s="7">
        <v>8</v>
      </c>
      <c r="H5" s="7">
        <v>8</v>
      </c>
      <c r="I5" s="7">
        <v>23</v>
      </c>
    </row>
    <row r="6" spans="2:9" x14ac:dyDescent="0.3">
      <c r="B6" s="4" t="s">
        <v>19</v>
      </c>
      <c r="C6" s="4" t="s">
        <v>16</v>
      </c>
      <c r="D6" s="9">
        <f>COUNTIF(Preguntas!D6:I6,"VERDADERO") / 6</f>
        <v>0.83333333333333337</v>
      </c>
      <c r="E6" s="10">
        <v>0.42222222222222222</v>
      </c>
      <c r="F6" s="7">
        <v>3</v>
      </c>
      <c r="G6" s="7">
        <v>3</v>
      </c>
      <c r="H6" s="7">
        <v>2</v>
      </c>
      <c r="I6" s="7">
        <v>30</v>
      </c>
    </row>
    <row r="7" spans="2:9" x14ac:dyDescent="0.3">
      <c r="C7" s="11" t="s">
        <v>30</v>
      </c>
      <c r="D7" s="9">
        <f>SUM(D3:D6 ) /4</f>
        <v>0.83333333333333337</v>
      </c>
      <c r="E7" s="10">
        <f t="shared" ref="E7:I7" si="0">SUM(E3:E6 ) /4</f>
        <v>0.34045138888888893</v>
      </c>
      <c r="F7" s="7">
        <f t="shared" si="0"/>
        <v>1.5</v>
      </c>
      <c r="G7" s="7">
        <f t="shared" si="0"/>
        <v>6.5</v>
      </c>
      <c r="H7" s="7">
        <f t="shared" si="0"/>
        <v>5.75</v>
      </c>
      <c r="I7" s="7">
        <f t="shared" si="0"/>
        <v>32.25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Preguntas</vt:lpstr>
      <vt:lpstr>Satisfacción</vt:lpstr>
      <vt:lpstr>Observaciones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Yago Navajas Gonzalez</dc:creator>
  <cp:lastModifiedBy>Yago Navajas González</cp:lastModifiedBy>
  <dcterms:created xsi:type="dcterms:W3CDTF">2015-06-05T18:19:34Z</dcterms:created>
  <dcterms:modified xsi:type="dcterms:W3CDTF">2026-06-20T11:15:17Z</dcterms:modified>
</cp:coreProperties>
</file>